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Register" sheetId="1" state="visible" r:id="rId1"/>
    <sheet xmlns:r="http://schemas.openxmlformats.org/officeDocument/2006/relationships" name="Hazard Assessment Matrix" sheetId="2" state="visible" r:id="rId2"/>
    <sheet xmlns:r="http://schemas.openxmlformats.org/officeDocument/2006/relationships" name="Safety Reference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0E0E0"/>
      <sz val="11"/>
    </font>
    <font>
      <name val="Calibri"/>
      <b val="1"/>
      <color rgb="00555555"/>
      <sz val="9"/>
    </font>
    <font>
      <name val="Calibri"/>
      <b val="1"/>
      <color rgb="001B365D"/>
      <sz val="20"/>
    </font>
    <font>
      <name val="Calibri"/>
      <b val="1"/>
      <color rgb="009C0006"/>
      <sz val="9"/>
    </font>
    <font>
      <name val="Calibri"/>
      <b val="1"/>
      <color rgb="009C0006"/>
      <sz val="20"/>
    </font>
    <font>
      <name val="Calibri"/>
      <b val="1"/>
      <color rgb="009C6500"/>
      <sz val="9"/>
    </font>
    <font>
      <name val="Calibri"/>
      <b val="1"/>
      <color rgb="009C6500"/>
      <sz val="20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555555"/>
      <sz val="9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  <fill>
      <patternFill patternType="solid">
        <fgColor rgb="00F2F4F8"/>
        <bgColor rgb="00F2F4F8"/>
      </patternFill>
    </fill>
    <fill>
      <patternFill patternType="solid">
        <fgColor rgb="002B547E"/>
        <bgColor rgb="002B547E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28" customWidth="1" min="3" max="3"/>
    <col width="16" customWidth="1" min="4" max="4"/>
    <col width="24" customWidth="1" min="5" max="5"/>
    <col width="24" customWidth="1" min="6" max="6"/>
    <col width="22" customWidth="1" min="7" max="7"/>
  </cols>
  <sheetData>
    <row r="1" ht="25" customHeight="1">
      <c r="A1" s="1" t="inlineStr">
        <is>
          <t>AM/NS INDIA - PUNE FACILITY</t>
        </is>
      </c>
    </row>
    <row r="2" ht="18" customHeight="1">
      <c r="A2" s="2" t="inlineStr">
        <is>
          <t>GAS HAZARDOUS AREA MASTER SAFETY REGISTER &amp; HAZARD CONTROL MATRIX</t>
        </is>
      </c>
    </row>
    <row r="3"/>
    <row r="4">
      <c r="A4" s="3" t="inlineStr">
        <is>
          <t>TOTAL GAS HAZARD AREAS</t>
        </is>
      </c>
      <c r="B4" s="4" t="n"/>
      <c r="C4" s="5" t="inlineStr">
        <is>
          <t>HIGH RISK AREAS</t>
        </is>
      </c>
      <c r="D4" s="4" t="n"/>
      <c r="E4" s="6" t="inlineStr">
        <is>
          <t>MEDIUM RISK AREAS</t>
        </is>
      </c>
      <c r="F4" s="4" t="n"/>
    </row>
    <row r="5">
      <c r="A5" s="7">
        <f>COUNTA('Hazard Assessment Matrix'!B5:B20)</f>
        <v/>
      </c>
      <c r="B5" s="4" t="n"/>
      <c r="C5" s="8">
        <f>COUNTIF('Hazard Assessment Matrix'!N5:N20, "High")</f>
        <v/>
      </c>
      <c r="D5" s="4" t="n"/>
      <c r="E5" s="9">
        <f>COUNTIF('Hazard Assessment Matrix'!N5:N20, "Medium")</f>
        <v/>
      </c>
      <c r="F5" s="4" t="n"/>
    </row>
    <row r="6">
      <c r="A6" s="4" t="n"/>
      <c r="B6" s="4" t="n"/>
      <c r="C6" s="4" t="n"/>
      <c r="D6" s="4" t="n"/>
      <c r="E6" s="4" t="n"/>
      <c r="F6" s="4" t="n"/>
    </row>
    <row r="7"/>
    <row r="8" ht="28" customHeight="1">
      <c r="A8" s="10" t="inlineStr">
        <is>
          <t>Area ID</t>
        </is>
      </c>
      <c r="B8" s="10" t="inlineStr">
        <is>
          <t>Hazard Area Location</t>
        </is>
      </c>
      <c r="C8" s="10" t="inlineStr">
        <is>
          <t>Primary Gas Species</t>
        </is>
      </c>
      <c r="D8" s="10" t="inlineStr">
        <is>
          <t>Flammability</t>
        </is>
      </c>
      <c r="E8" s="10" t="inlineStr">
        <is>
          <t>Toxicity / Asphyxiation</t>
        </is>
      </c>
      <c r="F8" s="10" t="inlineStr">
        <is>
          <t>Hazard Zone Classification</t>
        </is>
      </c>
      <c r="G8" s="10" t="inlineStr">
        <is>
          <t>Overall Risk Level</t>
        </is>
      </c>
    </row>
    <row r="9" ht="20" customHeight="1">
      <c r="A9" s="11">
        <f>'Hazard Assessment Matrix'!A5</f>
        <v/>
      </c>
      <c r="B9" s="12">
        <f>'Hazard Assessment Matrix'!B5</f>
        <v/>
      </c>
      <c r="C9" s="12">
        <f>'Hazard Assessment Matrix'!C5</f>
        <v/>
      </c>
      <c r="D9" s="11">
        <f>'Hazard Assessment Matrix'!D5</f>
        <v/>
      </c>
      <c r="E9" s="11">
        <f>'Hazard Assessment Matrix'!E5</f>
        <v/>
      </c>
      <c r="F9" s="11">
        <f>'Hazard Assessment Matrix'!F5</f>
        <v/>
      </c>
      <c r="G9" s="11">
        <f>'Hazard Assessment Matrix'!N5</f>
        <v/>
      </c>
    </row>
    <row r="10" ht="20" customHeight="1">
      <c r="A10" s="13">
        <f>'Hazard Assessment Matrix'!A6</f>
        <v/>
      </c>
      <c r="B10" s="14">
        <f>'Hazard Assessment Matrix'!B6</f>
        <v/>
      </c>
      <c r="C10" s="14">
        <f>'Hazard Assessment Matrix'!C6</f>
        <v/>
      </c>
      <c r="D10" s="13">
        <f>'Hazard Assessment Matrix'!D6</f>
        <v/>
      </c>
      <c r="E10" s="13">
        <f>'Hazard Assessment Matrix'!E6</f>
        <v/>
      </c>
      <c r="F10" s="13">
        <f>'Hazard Assessment Matrix'!F6</f>
        <v/>
      </c>
      <c r="G10" s="13">
        <f>'Hazard Assessment Matrix'!N6</f>
        <v/>
      </c>
    </row>
    <row r="11" ht="20" customHeight="1">
      <c r="A11" s="11">
        <f>'Hazard Assessment Matrix'!A7</f>
        <v/>
      </c>
      <c r="B11" s="12">
        <f>'Hazard Assessment Matrix'!B7</f>
        <v/>
      </c>
      <c r="C11" s="12">
        <f>'Hazard Assessment Matrix'!C7</f>
        <v/>
      </c>
      <c r="D11" s="11">
        <f>'Hazard Assessment Matrix'!D7</f>
        <v/>
      </c>
      <c r="E11" s="11">
        <f>'Hazard Assessment Matrix'!E7</f>
        <v/>
      </c>
      <c r="F11" s="11">
        <f>'Hazard Assessment Matrix'!F7</f>
        <v/>
      </c>
      <c r="G11" s="11">
        <f>'Hazard Assessment Matrix'!N7</f>
        <v/>
      </c>
    </row>
    <row r="12" ht="20" customHeight="1">
      <c r="A12" s="13">
        <f>'Hazard Assessment Matrix'!A8</f>
        <v/>
      </c>
      <c r="B12" s="14">
        <f>'Hazard Assessment Matrix'!B8</f>
        <v/>
      </c>
      <c r="C12" s="14">
        <f>'Hazard Assessment Matrix'!C8</f>
        <v/>
      </c>
      <c r="D12" s="13">
        <f>'Hazard Assessment Matrix'!D8</f>
        <v/>
      </c>
      <c r="E12" s="13">
        <f>'Hazard Assessment Matrix'!E8</f>
        <v/>
      </c>
      <c r="F12" s="13">
        <f>'Hazard Assessment Matrix'!F8</f>
        <v/>
      </c>
      <c r="G12" s="13">
        <f>'Hazard Assessment Matrix'!N8</f>
        <v/>
      </c>
    </row>
    <row r="13" ht="20" customHeight="1">
      <c r="A13" s="11">
        <f>'Hazard Assessment Matrix'!A9</f>
        <v/>
      </c>
      <c r="B13" s="12">
        <f>'Hazard Assessment Matrix'!B9</f>
        <v/>
      </c>
      <c r="C13" s="12">
        <f>'Hazard Assessment Matrix'!C9</f>
        <v/>
      </c>
      <c r="D13" s="11">
        <f>'Hazard Assessment Matrix'!D9</f>
        <v/>
      </c>
      <c r="E13" s="11">
        <f>'Hazard Assessment Matrix'!E9</f>
        <v/>
      </c>
      <c r="F13" s="11">
        <f>'Hazard Assessment Matrix'!F9</f>
        <v/>
      </c>
      <c r="G13" s="11">
        <f>'Hazard Assessment Matrix'!N9</f>
        <v/>
      </c>
    </row>
    <row r="14" ht="20" customHeight="1">
      <c r="A14" s="13">
        <f>'Hazard Assessment Matrix'!A10</f>
        <v/>
      </c>
      <c r="B14" s="14">
        <f>'Hazard Assessment Matrix'!B10</f>
        <v/>
      </c>
      <c r="C14" s="14">
        <f>'Hazard Assessment Matrix'!C10</f>
        <v/>
      </c>
      <c r="D14" s="13">
        <f>'Hazard Assessment Matrix'!D10</f>
        <v/>
      </c>
      <c r="E14" s="13">
        <f>'Hazard Assessment Matrix'!E10</f>
        <v/>
      </c>
      <c r="F14" s="13">
        <f>'Hazard Assessment Matrix'!F10</f>
        <v/>
      </c>
      <c r="G14" s="13">
        <f>'Hazard Assessment Matrix'!N10</f>
        <v/>
      </c>
    </row>
    <row r="15" ht="20" customHeight="1">
      <c r="A15" s="11">
        <f>'Hazard Assessment Matrix'!A11</f>
        <v/>
      </c>
      <c r="B15" s="12">
        <f>'Hazard Assessment Matrix'!B11</f>
        <v/>
      </c>
      <c r="C15" s="12">
        <f>'Hazard Assessment Matrix'!C11</f>
        <v/>
      </c>
      <c r="D15" s="11">
        <f>'Hazard Assessment Matrix'!D11</f>
        <v/>
      </c>
      <c r="E15" s="11">
        <f>'Hazard Assessment Matrix'!E11</f>
        <v/>
      </c>
      <c r="F15" s="11">
        <f>'Hazard Assessment Matrix'!F11</f>
        <v/>
      </c>
      <c r="G15" s="11">
        <f>'Hazard Assessment Matrix'!N11</f>
        <v/>
      </c>
    </row>
    <row r="16" ht="20" customHeight="1">
      <c r="A16" s="13">
        <f>'Hazard Assessment Matrix'!A12</f>
        <v/>
      </c>
      <c r="B16" s="14">
        <f>'Hazard Assessment Matrix'!B12</f>
        <v/>
      </c>
      <c r="C16" s="14">
        <f>'Hazard Assessment Matrix'!C12</f>
        <v/>
      </c>
      <c r="D16" s="13">
        <f>'Hazard Assessment Matrix'!D12</f>
        <v/>
      </c>
      <c r="E16" s="13">
        <f>'Hazard Assessment Matrix'!E12</f>
        <v/>
      </c>
      <c r="F16" s="13">
        <f>'Hazard Assessment Matrix'!F12</f>
        <v/>
      </c>
      <c r="G16" s="13">
        <f>'Hazard Assessment Matrix'!N12</f>
        <v/>
      </c>
    </row>
    <row r="17" ht="20" customHeight="1">
      <c r="A17" s="11">
        <f>'Hazard Assessment Matrix'!A13</f>
        <v/>
      </c>
      <c r="B17" s="12">
        <f>'Hazard Assessment Matrix'!B13</f>
        <v/>
      </c>
      <c r="C17" s="12">
        <f>'Hazard Assessment Matrix'!C13</f>
        <v/>
      </c>
      <c r="D17" s="11">
        <f>'Hazard Assessment Matrix'!D13</f>
        <v/>
      </c>
      <c r="E17" s="11">
        <f>'Hazard Assessment Matrix'!E13</f>
        <v/>
      </c>
      <c r="F17" s="11">
        <f>'Hazard Assessment Matrix'!F13</f>
        <v/>
      </c>
      <c r="G17" s="11">
        <f>'Hazard Assessment Matrix'!N13</f>
        <v/>
      </c>
    </row>
    <row r="18" ht="20" customHeight="1">
      <c r="A18" s="13">
        <f>'Hazard Assessment Matrix'!A14</f>
        <v/>
      </c>
      <c r="B18" s="14">
        <f>'Hazard Assessment Matrix'!B14</f>
        <v/>
      </c>
      <c r="C18" s="14">
        <f>'Hazard Assessment Matrix'!C14</f>
        <v/>
      </c>
      <c r="D18" s="13">
        <f>'Hazard Assessment Matrix'!D14</f>
        <v/>
      </c>
      <c r="E18" s="13">
        <f>'Hazard Assessment Matrix'!E14</f>
        <v/>
      </c>
      <c r="F18" s="13">
        <f>'Hazard Assessment Matrix'!F14</f>
        <v/>
      </c>
      <c r="G18" s="13">
        <f>'Hazard Assessment Matrix'!N14</f>
        <v/>
      </c>
    </row>
    <row r="19" ht="20" customHeight="1">
      <c r="A19" s="11">
        <f>'Hazard Assessment Matrix'!A15</f>
        <v/>
      </c>
      <c r="B19" s="12">
        <f>'Hazard Assessment Matrix'!B15</f>
        <v/>
      </c>
      <c r="C19" s="12">
        <f>'Hazard Assessment Matrix'!C15</f>
        <v/>
      </c>
      <c r="D19" s="11">
        <f>'Hazard Assessment Matrix'!D15</f>
        <v/>
      </c>
      <c r="E19" s="11">
        <f>'Hazard Assessment Matrix'!E15</f>
        <v/>
      </c>
      <c r="F19" s="11">
        <f>'Hazard Assessment Matrix'!F15</f>
        <v/>
      </c>
      <c r="G19" s="11">
        <f>'Hazard Assessment Matrix'!N15</f>
        <v/>
      </c>
    </row>
    <row r="20" ht="20" customHeight="1">
      <c r="A20" s="13">
        <f>'Hazard Assessment Matrix'!A16</f>
        <v/>
      </c>
      <c r="B20" s="14">
        <f>'Hazard Assessment Matrix'!B16</f>
        <v/>
      </c>
      <c r="C20" s="14">
        <f>'Hazard Assessment Matrix'!C16</f>
        <v/>
      </c>
      <c r="D20" s="13">
        <f>'Hazard Assessment Matrix'!D16</f>
        <v/>
      </c>
      <c r="E20" s="13">
        <f>'Hazard Assessment Matrix'!E16</f>
        <v/>
      </c>
      <c r="F20" s="13">
        <f>'Hazard Assessment Matrix'!F16</f>
        <v/>
      </c>
      <c r="G20" s="13">
        <f>'Hazard Assessment Matrix'!N16</f>
        <v/>
      </c>
    </row>
    <row r="21" ht="20" customHeight="1">
      <c r="A21" s="11">
        <f>'Hazard Assessment Matrix'!A17</f>
        <v/>
      </c>
      <c r="B21" s="12">
        <f>'Hazard Assessment Matrix'!B17</f>
        <v/>
      </c>
      <c r="C21" s="12">
        <f>'Hazard Assessment Matrix'!C17</f>
        <v/>
      </c>
      <c r="D21" s="11">
        <f>'Hazard Assessment Matrix'!D17</f>
        <v/>
      </c>
      <c r="E21" s="11">
        <f>'Hazard Assessment Matrix'!E17</f>
        <v/>
      </c>
      <c r="F21" s="11">
        <f>'Hazard Assessment Matrix'!F17</f>
        <v/>
      </c>
      <c r="G21" s="11">
        <f>'Hazard Assessment Matrix'!N17</f>
        <v/>
      </c>
    </row>
    <row r="22" ht="20" customHeight="1">
      <c r="A22" s="13">
        <f>'Hazard Assessment Matrix'!A18</f>
        <v/>
      </c>
      <c r="B22" s="14">
        <f>'Hazard Assessment Matrix'!B18</f>
        <v/>
      </c>
      <c r="C22" s="14">
        <f>'Hazard Assessment Matrix'!C18</f>
        <v/>
      </c>
      <c r="D22" s="13">
        <f>'Hazard Assessment Matrix'!D18</f>
        <v/>
      </c>
      <c r="E22" s="13">
        <f>'Hazard Assessment Matrix'!E18</f>
        <v/>
      </c>
      <c r="F22" s="13">
        <f>'Hazard Assessment Matrix'!F18</f>
        <v/>
      </c>
      <c r="G22" s="13">
        <f>'Hazard Assessment Matrix'!N18</f>
        <v/>
      </c>
    </row>
    <row r="23" ht="20" customHeight="1">
      <c r="A23" s="11">
        <f>'Hazard Assessment Matrix'!A19</f>
        <v/>
      </c>
      <c r="B23" s="12">
        <f>'Hazard Assessment Matrix'!B19</f>
        <v/>
      </c>
      <c r="C23" s="12">
        <f>'Hazard Assessment Matrix'!C19</f>
        <v/>
      </c>
      <c r="D23" s="11">
        <f>'Hazard Assessment Matrix'!D19</f>
        <v/>
      </c>
      <c r="E23" s="11">
        <f>'Hazard Assessment Matrix'!E19</f>
        <v/>
      </c>
      <c r="F23" s="11">
        <f>'Hazard Assessment Matrix'!F19</f>
        <v/>
      </c>
      <c r="G23" s="11">
        <f>'Hazard Assessment Matrix'!N19</f>
        <v/>
      </c>
    </row>
    <row r="24" ht="20" customHeight="1">
      <c r="A24" s="13">
        <f>'Hazard Assessment Matrix'!A20</f>
        <v/>
      </c>
      <c r="B24" s="14">
        <f>'Hazard Assessment Matrix'!B20</f>
        <v/>
      </c>
      <c r="C24" s="14">
        <f>'Hazard Assessment Matrix'!C20</f>
        <v/>
      </c>
      <c r="D24" s="13">
        <f>'Hazard Assessment Matrix'!D20</f>
        <v/>
      </c>
      <c r="E24" s="13">
        <f>'Hazard Assessment Matrix'!E20</f>
        <v/>
      </c>
      <c r="F24" s="13">
        <f>'Hazard Assessment Matrix'!F20</f>
        <v/>
      </c>
      <c r="G24" s="13">
        <f>'Hazard Assessment Matrix'!N20</f>
        <v/>
      </c>
    </row>
    <row r="25"/>
    <row r="26">
      <c r="A26" s="15" t="inlineStr">
        <is>
          <t>* Note: Complete technical details, gas detection systems, interlocks, PPE, and SOP references are detailed in the 'Hazard Assessment Matrix' tab.</t>
        </is>
      </c>
    </row>
  </sheetData>
  <mergeCells count="8">
    <mergeCell ref="A4:B4"/>
    <mergeCell ref="E4:F4"/>
    <mergeCell ref="A1:G1"/>
    <mergeCell ref="C5:D6"/>
    <mergeCell ref="A5:B6"/>
    <mergeCell ref="A2:G2"/>
    <mergeCell ref="E5:F6"/>
    <mergeCell ref="C4:D4"/>
  </mergeCells>
  <conditionalFormatting sqref="G9:G24">
    <cfRule type="cellIs" priority="1" operator="equal" dxfId="0" stopIfTrue="1">
      <formula>"High"</formula>
    </cfRule>
    <cfRule type="cellIs" priority="2" operator="equal" dxfId="1" stopIfTrue="1">
      <formula>"Medium"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30" customWidth="1" min="4" max="4"/>
    <col width="44" customWidth="1" min="5" max="5"/>
    <col width="37" customWidth="1" min="6" max="6"/>
    <col width="50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14" customWidth="1" min="14" max="14"/>
  </cols>
  <sheetData>
    <row r="1" ht="25" customHeight="1">
      <c r="A1" s="1" t="inlineStr">
        <is>
          <t>AM/NS INDIA PUNE - COMPREHENSIVE GAS HAZARD &amp; SAFETY CONTROL MATRIX</t>
        </is>
      </c>
    </row>
    <row r="2" ht="18" customHeight="1">
      <c r="A2" s="2" t="inlineStr">
        <is>
          <t>Mandatory Operational Safety Data Parameters for 16 Gas Hazardous Areas</t>
        </is>
      </c>
    </row>
    <row r="3" ht="22" customHeight="1">
      <c r="A3" s="10" t="inlineStr">
        <is>
          <t>AREA IDENTIFICATION</t>
        </is>
      </c>
      <c r="B3" s="10" t="n"/>
      <c r="C3" s="16" t="inlineStr">
        <is>
          <t>GAS HAZARD CHARACTERISTICS</t>
        </is>
      </c>
      <c r="D3" s="16" t="n"/>
      <c r="E3" s="16" t="n"/>
      <c r="F3" s="16" t="n"/>
      <c r="G3" s="16" t="n"/>
      <c r="H3" s="17" t="inlineStr">
        <is>
          <t>ENGINEERING CONTROLS &amp; MITIGATION</t>
        </is>
      </c>
      <c r="I3" s="17" t="n"/>
      <c r="J3" s="17" t="n"/>
      <c r="K3" s="17" t="n"/>
      <c r="L3" s="10" t="inlineStr">
        <is>
          <t>PROCEDURAL &amp; PPE CONTROLS</t>
        </is>
      </c>
      <c r="M3" s="10" t="n"/>
      <c r="N3" s="16" t="inlineStr">
        <is>
          <t>RISK</t>
        </is>
      </c>
    </row>
    <row r="4" ht="28" customHeight="1">
      <c r="A4" s="10" t="inlineStr">
        <is>
          <t>Area ID</t>
        </is>
      </c>
      <c r="B4" s="10" t="inlineStr">
        <is>
          <t>Hazard Area Location</t>
        </is>
      </c>
      <c r="C4" s="10" t="inlineStr">
        <is>
          <t>Primary Gas Present</t>
        </is>
      </c>
      <c r="D4" s="10" t="inlineStr">
        <is>
          <t>Flammable? (Yes/No)</t>
        </is>
      </c>
      <c r="E4" s="10" t="inlineStr">
        <is>
          <t>Toxic / Asphyxiant?</t>
        </is>
      </c>
      <c r="F4" s="10" t="inlineStr">
        <is>
          <t>Hazard Zone / Area Class</t>
        </is>
      </c>
      <c r="G4" s="10" t="inlineStr">
        <is>
          <t>LEL / UEL / Exposure Limit</t>
        </is>
      </c>
      <c r="H4" s="10" t="inlineStr">
        <is>
          <t>Potential Ignition Sources</t>
        </is>
      </c>
      <c r="I4" s="10" t="inlineStr">
        <is>
          <t>Gas Detection System</t>
        </is>
      </c>
      <c r="J4" s="10" t="inlineStr">
        <is>
          <t>Safety Interlocks &amp; Trips</t>
        </is>
      </c>
      <c r="K4" s="10" t="inlineStr">
        <is>
          <t>Ventilation Systems</t>
        </is>
      </c>
      <c r="L4" s="10" t="inlineStr">
        <is>
          <t>Mandatory PPE Requirements</t>
        </is>
      </c>
      <c r="M4" s="10" t="inlineStr">
        <is>
          <t>Applicable SOPs &amp; Permits</t>
        </is>
      </c>
      <c r="N4" s="10" t="inlineStr">
        <is>
          <t>Risk Level</t>
        </is>
      </c>
    </row>
    <row r="5" ht="35" customHeight="1">
      <c r="A5" s="11" t="inlineStr">
        <is>
          <t>HAZ-01</t>
        </is>
      </c>
      <c r="B5" s="12" t="inlineStr">
        <is>
          <t>NG Yard</t>
        </is>
      </c>
      <c r="C5" s="12" t="inlineStr">
        <is>
          <t>Natural Gas (Methane CH4)</t>
        </is>
      </c>
      <c r="D5" s="11" t="inlineStr">
        <is>
          <t>Yes</t>
        </is>
      </c>
      <c r="E5" s="12" t="inlineStr">
        <is>
          <t>No (Asphyxiant)</t>
        </is>
      </c>
      <c r="F5" s="11" t="inlineStr">
        <is>
          <t>Zone 1 / Zone 2</t>
        </is>
      </c>
      <c r="G5" s="11" t="inlineStr">
        <is>
          <t>5.0% - 15.0%</t>
        </is>
      </c>
      <c r="H5" s="12" t="inlineStr">
        <is>
          <t>Electrical sparks, static, hot work, vehicles, lightning</t>
        </is>
      </c>
      <c r="I5" s="12" t="inlineStr">
        <is>
          <t>Fixed Gas Detectors (IR/Pellistor), Flame Detectors (UV/IR)</t>
        </is>
      </c>
      <c r="J5" s="12" t="inlineStr">
        <is>
          <t>Auto Shut-Off Valve (Solenoid/ESD), Pressure Safety Valve (PSV)</t>
        </is>
      </c>
      <c r="K5" s="12" t="inlineStr">
        <is>
          <t>Open-air Natural Ventilation, Explosion-proof forced air</t>
        </is>
      </c>
      <c r="L5" s="12" t="inlineStr">
        <is>
          <t>Antistatic FR Clothing, Safety Helmet, Safety Shoes, Portable LEL Detector</t>
        </is>
      </c>
      <c r="M5" s="12" t="inlineStr">
        <is>
          <t>SOP-NGY-001 (Gas Unloading), Permit to Work (Hot Work / CSE)</t>
        </is>
      </c>
      <c r="N5" s="11" t="inlineStr">
        <is>
          <t>High</t>
        </is>
      </c>
    </row>
    <row r="6" ht="35" customHeight="1">
      <c r="A6" s="13" t="inlineStr">
        <is>
          <t>HAZ-02</t>
        </is>
      </c>
      <c r="B6" s="14" t="inlineStr">
        <is>
          <t>Propane Yard</t>
        </is>
      </c>
      <c r="C6" s="14" t="inlineStr">
        <is>
          <t>Propane (C3H8) / LPG</t>
        </is>
      </c>
      <c r="D6" s="13" t="inlineStr">
        <is>
          <t>Yes</t>
        </is>
      </c>
      <c r="E6" s="14" t="inlineStr">
        <is>
          <t>No (Asphyxiant)</t>
        </is>
      </c>
      <c r="F6" s="13" t="inlineStr">
        <is>
          <t>Zone 0 / Zone 1</t>
        </is>
      </c>
      <c r="G6" s="13" t="inlineStr">
        <is>
          <t>2.1% - 9.5%</t>
        </is>
      </c>
      <c r="H6" s="14" t="inlineStr">
        <is>
          <t>Static charge, open flame, electrical switches, friction sparks</t>
        </is>
      </c>
      <c r="I6" s="14" t="inlineStr">
        <is>
          <t>Fixed Catalytic/IR Gas Detectors, Gas Cloud Detectors, Deluge Activation</t>
        </is>
      </c>
      <c r="J6" s="14" t="inlineStr">
        <is>
          <t>Emergency Shut-Down Valve (ESDV), Excess Flow Check Valve</t>
        </is>
      </c>
      <c r="K6" s="14" t="inlineStr">
        <is>
          <t>Low-level Natural/Forced Ventilation (Propane heavier than air)</t>
        </is>
      </c>
      <c r="L6" s="14" t="inlineStr">
        <is>
          <t>Antistatic FR Suit, Cryogenic/Heat Gloves, Portable Multi-gas Monitor</t>
        </is>
      </c>
      <c r="M6" s="14" t="inlineStr">
        <is>
          <t>SOP-PRP-002 (Bullet Tank Operations), Static Earthing Checklist</t>
        </is>
      </c>
      <c r="N6" s="13" t="inlineStr">
        <is>
          <t>High</t>
        </is>
      </c>
    </row>
    <row r="7" ht="35" customHeight="1">
      <c r="A7" s="11" t="inlineStr">
        <is>
          <t>HAZ-03</t>
        </is>
      </c>
      <c r="B7" s="12" t="inlineStr">
        <is>
          <t>Ammonia Yard</t>
        </is>
      </c>
      <c r="C7" s="12" t="inlineStr">
        <is>
          <t>Anhydrous Ammonia (NH3)</t>
        </is>
      </c>
      <c r="D7" s="11" t="inlineStr">
        <is>
          <t>Yes (High energy required)</t>
        </is>
      </c>
      <c r="E7" s="12" t="inlineStr">
        <is>
          <t>Yes (Highly Toxic/Corrosive)</t>
        </is>
      </c>
      <c r="F7" s="11" t="inlineStr">
        <is>
          <t>Zone 2 (Toxic Primary)</t>
        </is>
      </c>
      <c r="G7" s="11" t="inlineStr">
        <is>
          <t>15.0% - 28.0% | STEL: 35 ppm</t>
        </is>
      </c>
      <c r="H7" s="12" t="inlineStr">
        <is>
          <t>High temp sources, static discharges, electrical arcs</t>
        </is>
      </c>
      <c r="I7" s="12" t="inlineStr">
        <is>
          <t>Fixed Electrochemical NH3 Gas Detectors, Water Curtain System</t>
        </is>
      </c>
      <c r="J7" s="12" t="inlineStr">
        <is>
          <t>Remote ESDV, Auto Water Spray Deluge on Leak Detection (&gt;25 ppm)</t>
        </is>
      </c>
      <c r="K7" s="12" t="inlineStr">
        <is>
          <t>Forced Exhaust Air Scrubbers, Open Canopy Ventilation</t>
        </is>
      </c>
      <c r="L7" s="12" t="inlineStr">
        <is>
          <t>Chemical Suit (Level B/A), Ammonia Cartridge Respirator / SCBA</t>
        </is>
      </c>
      <c r="M7" s="12" t="inlineStr">
        <is>
          <t>SOP-AMN-003 (Ammonia Storage &amp; Transfer), Toxic Leak ERP</t>
        </is>
      </c>
      <c r="N7" s="11" t="inlineStr">
        <is>
          <t>High</t>
        </is>
      </c>
    </row>
    <row r="8" ht="35" customHeight="1">
      <c r="A8" s="13" t="inlineStr">
        <is>
          <t>HAZ-04</t>
        </is>
      </c>
      <c r="B8" s="14" t="inlineStr">
        <is>
          <t>ARP Valve Stand</t>
        </is>
      </c>
      <c r="C8" s="14" t="inlineStr">
        <is>
          <t>RCL Gas / Hydrogen Chloride Gas / Fuel Gas</t>
        </is>
      </c>
      <c r="D8" s="13" t="inlineStr">
        <is>
          <t>Yes (Fuel component)</t>
        </is>
      </c>
      <c r="E8" s="14" t="inlineStr">
        <is>
          <t>Yes (Corrosive &amp; Toxic)</t>
        </is>
      </c>
      <c r="F8" s="13" t="inlineStr">
        <is>
          <t>Zone 2</t>
        </is>
      </c>
      <c r="G8" s="13" t="inlineStr">
        <is>
          <t>Varies by Fuel | HCl OEL: 2 ppm</t>
        </is>
      </c>
      <c r="H8" s="14" t="inlineStr">
        <is>
          <t>Flange leaks onto hot surfaces, electrical equipment, maintenance tools</t>
        </is>
      </c>
      <c r="I8" s="14" t="inlineStr">
        <is>
          <t>Fixed HCl &amp; Combustible Gas Detectors</t>
        </is>
      </c>
      <c r="J8" s="14" t="inlineStr">
        <is>
          <t>Pneumatic Quick-Closing Shut-off Valves, Line Pressure Switch Interlock</t>
        </is>
      </c>
      <c r="K8" s="14" t="inlineStr">
        <is>
          <t>Local Exhaust Ventilation (LEV), Open Valve Station Canopy</t>
        </is>
      </c>
      <c r="L8" s="14" t="inlineStr">
        <is>
          <t>Acid-resistant Suit, Face Shield, Acid Gas Respirator, Antistatic Boots</t>
        </is>
      </c>
      <c r="M8" s="14" t="inlineStr">
        <is>
          <t>SOP-ARP-004 (Valve Stand Line Isolation), LOTO Procedure ARP-02</t>
        </is>
      </c>
      <c r="N8" s="13" t="inlineStr">
        <is>
          <t>Medium</t>
        </is>
      </c>
    </row>
    <row r="9" ht="35" customHeight="1">
      <c r="A9" s="11" t="inlineStr">
        <is>
          <t>HAZ-05</t>
        </is>
      </c>
      <c r="B9" s="12" t="inlineStr">
        <is>
          <t>CGL1 Valve Stand</t>
        </is>
      </c>
      <c r="C9" s="12" t="inlineStr">
        <is>
          <t>NG / Mixed Fuel Gas / H2 Blend</t>
        </is>
      </c>
      <c r="D9" s="11" t="inlineStr">
        <is>
          <t>Yes</t>
        </is>
      </c>
      <c r="E9" s="12" t="inlineStr">
        <is>
          <t>Yes (CO presence in fuel gas)</t>
        </is>
      </c>
      <c r="F9" s="11" t="inlineStr">
        <is>
          <t>Zone 1 / Zone 2</t>
        </is>
      </c>
      <c r="G9" s="11" t="inlineStr">
        <is>
          <t>4.0% - 75.0% (Blend dependent)</t>
        </is>
      </c>
      <c r="H9" s="12" t="inlineStr">
        <is>
          <t>Hot pipes, valve flange friction, electrical control panels</t>
        </is>
      </c>
      <c r="I9" s="12" t="inlineStr">
        <is>
          <t>Fixed Gas Leak Detectors (Methane/H2/CO combo)</t>
        </is>
      </c>
      <c r="J9" s="12" t="inlineStr">
        <is>
          <t>Dual Block &amp; Bleed Valve Assembly, Low Line Pressure Trip</t>
        </is>
      </c>
      <c r="K9" s="12" t="inlineStr">
        <is>
          <t>Mechanical Exhaust Ventilation in Enclosures</t>
        </is>
      </c>
      <c r="L9" s="12" t="inlineStr">
        <is>
          <t>FR Coveralls, Portable Gas Monitor (CO/LEL), Leather Impact Gloves</t>
        </is>
      </c>
      <c r="M9" s="12" t="inlineStr">
        <is>
          <t>SOP-CGL1-VS01 (Gas Skid Valve Operation), Flange Tightening Spec</t>
        </is>
      </c>
      <c r="N9" s="11" t="inlineStr">
        <is>
          <t>High</t>
        </is>
      </c>
    </row>
    <row r="10" ht="35" customHeight="1">
      <c r="A10" s="13" t="inlineStr">
        <is>
          <t>HAZ-06</t>
        </is>
      </c>
      <c r="B10" s="14" t="inlineStr">
        <is>
          <t>CGL2 Valve Stand</t>
        </is>
      </c>
      <c r="C10" s="14" t="inlineStr">
        <is>
          <t>NG / Mixed Fuel Gas / H2 Blend</t>
        </is>
      </c>
      <c r="D10" s="13" t="inlineStr">
        <is>
          <t>Yes</t>
        </is>
      </c>
      <c r="E10" s="14" t="inlineStr">
        <is>
          <t>Yes (CO presence in fuel gas)</t>
        </is>
      </c>
      <c r="F10" s="13" t="inlineStr">
        <is>
          <t>Zone 1 / Zone 2</t>
        </is>
      </c>
      <c r="G10" s="13" t="inlineStr">
        <is>
          <t>4.0% - 75.0% (Blend dependent)</t>
        </is>
      </c>
      <c r="H10" s="14" t="inlineStr">
        <is>
          <t>Hot pipes, electrical switches, non-spark proof tools during maintenance</t>
        </is>
      </c>
      <c r="I10" s="14" t="inlineStr">
        <is>
          <t>Fixed Gas Leak Detectors (Methane/H2/CO combo)</t>
        </is>
      </c>
      <c r="J10" s="14" t="inlineStr">
        <is>
          <t>Dual Block &amp; Bleed Valve System, Automatic Safety Shutoff</t>
        </is>
      </c>
      <c r="K10" s="14" t="inlineStr">
        <is>
          <t>Forced Extraction Fans, Louvered Enclosure Wall</t>
        </is>
      </c>
      <c r="L10" s="14" t="inlineStr">
        <is>
          <t>FR Coveralls, Portable 4-Gas Detector, Antistatic Safety Shoes</t>
        </is>
      </c>
      <c r="M10" s="14" t="inlineStr">
        <is>
          <t>SOP-CGL2-VS01 (Gas Skid Main Valve Operation), LOTO Matrix</t>
        </is>
      </c>
      <c r="N10" s="13" t="inlineStr">
        <is>
          <t>High</t>
        </is>
      </c>
    </row>
    <row r="11" ht="35" customHeight="1">
      <c r="A11" s="11" t="inlineStr">
        <is>
          <t>HAZ-07</t>
        </is>
      </c>
      <c r="B11" s="12" t="inlineStr">
        <is>
          <t>CGL1 Furnace</t>
        </is>
      </c>
      <c r="C11" s="12" t="inlineStr">
        <is>
          <t>HNX Gas (H2/N2) / Natural Gas</t>
        </is>
      </c>
      <c r="D11" s="11" t="inlineStr">
        <is>
          <t>Yes</t>
        </is>
      </c>
      <c r="E11" s="12" t="inlineStr">
        <is>
          <t>Yes (CO byproduct / Nitrogen Asphyxiant)</t>
        </is>
      </c>
      <c r="F11" s="11" t="inlineStr">
        <is>
          <t>Zone 1 (Inside/Surrounding)</t>
        </is>
      </c>
      <c r="G11" s="11" t="inlineStr">
        <is>
          <t>4.0% - 75.0% (H2 in HNX)</t>
        </is>
      </c>
      <c r="H11" s="12" t="inlineStr">
        <is>
          <t>Furnace Burners, Radiant Tubes, Heat Exchangers, Electrical Heaters</t>
        </is>
      </c>
      <c r="I11" s="12" t="inlineStr">
        <is>
          <t>Furnace Ambient H2/NG Detectors, Flame Scanners, O2 Analyzers</t>
        </is>
      </c>
      <c r="J11" s="12" t="inlineStr">
        <is>
          <t>Furnace Purge Interlock (N2 Purge before ignition), Flame Failure Switch</t>
        </is>
      </c>
      <c r="K11" s="12" t="inlineStr">
        <is>
          <t>Roof Extraction Canopy, Radiant Heat &amp; Fume Exhaust Fans</t>
        </is>
      </c>
      <c r="L11" s="12" t="inlineStr">
        <is>
          <t>Aluminized Heat Suit / FR Garment, Multi-gas Detector, SCBA for entry</t>
        </is>
      </c>
      <c r="M11" s="12" t="inlineStr">
        <is>
          <t>SOP-CGL1-FRN01 (Furnace Light-up &amp; Purging), Confined Space Permit</t>
        </is>
      </c>
      <c r="N11" s="11" t="inlineStr">
        <is>
          <t>High</t>
        </is>
      </c>
    </row>
    <row r="12" ht="35" customHeight="1">
      <c r="A12" s="13" t="inlineStr">
        <is>
          <t>HAZ-08</t>
        </is>
      </c>
      <c r="B12" s="14" t="inlineStr">
        <is>
          <t>CGL2 Furnace</t>
        </is>
      </c>
      <c r="C12" s="14" t="inlineStr">
        <is>
          <t>HNX Gas (H2/N2) / Natural Gas</t>
        </is>
      </c>
      <c r="D12" s="13" t="inlineStr">
        <is>
          <t>Yes</t>
        </is>
      </c>
      <c r="E12" s="14" t="inlineStr">
        <is>
          <t>Yes (CO byproduct / Nitrogen Asphyxiant)</t>
        </is>
      </c>
      <c r="F12" s="13" t="inlineStr">
        <is>
          <t>Zone 1 (Inside/Surrounding)</t>
        </is>
      </c>
      <c r="G12" s="13" t="inlineStr">
        <is>
          <t>4.0% - 75.0% (H2 in HNX)</t>
        </is>
      </c>
      <c r="H12" s="14" t="inlineStr">
        <is>
          <t>Furnace Burners, High Temp Rollers, Hot Strip, Electrical Igniters</t>
        </is>
      </c>
      <c r="I12" s="14" t="inlineStr">
        <is>
          <t>Furnace Ambient H2/NG Detectors, Optical Flame Detectors, Combustible Monitors</t>
        </is>
      </c>
      <c r="J12" s="14" t="inlineStr">
        <is>
          <t>N2 Auto Purge Interlock, Gas Safety Shutoff Valve (GSSV), Temp High Trip</t>
        </is>
      </c>
      <c r="K12" s="14" t="inlineStr">
        <is>
          <t>High-capacity Roof Exhaust, Forced Draft Blowers</t>
        </is>
      </c>
      <c r="L12" s="14" t="inlineStr">
        <is>
          <t>Aluminized Heat Resistant FR Clothing, Portable H2/CO Detector</t>
        </is>
      </c>
      <c r="M12" s="14" t="inlineStr">
        <is>
          <t>SOP-CGL2-FRN01 (Furnace Start-up &amp; HNX Purge), Hot Work Permit</t>
        </is>
      </c>
      <c r="N12" s="13" t="inlineStr">
        <is>
          <t>High</t>
        </is>
      </c>
    </row>
    <row r="13" ht="35" customHeight="1">
      <c r="A13" s="11" t="inlineStr">
        <is>
          <t>HAZ-09</t>
        </is>
      </c>
      <c r="B13" s="12" t="inlineStr">
        <is>
          <t>PSA Plant</t>
        </is>
      </c>
      <c r="C13" s="12" t="inlineStr">
        <is>
          <t>Hydrogen (H2) / Nitrogen (N2)</t>
        </is>
      </c>
      <c r="D13" s="11" t="inlineStr">
        <is>
          <t>Yes (H2 Stream)</t>
        </is>
      </c>
      <c r="E13" s="12" t="inlineStr">
        <is>
          <t>No (N2 Asphyxiant)</t>
        </is>
      </c>
      <c r="F13" s="11" t="inlineStr">
        <is>
          <t>Zone 0 (Adsorber Vessel) / Zone 1</t>
        </is>
      </c>
      <c r="G13" s="11" t="inlineStr">
        <is>
          <t>4.0% - 77.0%</t>
        </is>
      </c>
      <c r="H13" s="12" t="inlineStr">
        <is>
          <t>Extremely low ignition energy required for H2; static, electrical panels</t>
        </is>
      </c>
      <c r="I13" s="12" t="inlineStr">
        <is>
          <t>Fixed Ultrasonic Gas Leak Detectors, Catalytic H2 Sensors</t>
        </is>
      </c>
      <c r="J13" s="12" t="inlineStr">
        <is>
          <t>Automatic Pressure Relief Valves, High Pressure Trip ESD</t>
        </is>
      </c>
      <c r="K13" s="12" t="inlineStr">
        <is>
          <t>High Level Natural Ventilation (H2 rises rapidly), Explosive Proof Exhaust</t>
        </is>
      </c>
      <c r="L13" s="12" t="inlineStr">
        <is>
          <t>Antistatic FR Suit, Static-Discharge Safety Shoes, Personal Gas Monitor</t>
        </is>
      </c>
      <c r="M13" s="12" t="inlineStr">
        <is>
          <t>SOP-PSA-001 (PSA Bed Regeneration &amp; Cycling), H2 Safety Guidelines</t>
        </is>
      </c>
      <c r="N13" s="11" t="inlineStr">
        <is>
          <t>High</t>
        </is>
      </c>
    </row>
    <row r="14" ht="35" customHeight="1">
      <c r="A14" s="13" t="inlineStr">
        <is>
          <t>HAZ-10</t>
        </is>
      </c>
      <c r="B14" s="14" t="inlineStr">
        <is>
          <t>CCL1 RTO</t>
        </is>
      </c>
      <c r="C14" s="14" t="inlineStr">
        <is>
          <t>Natural Gas / Solvent Vapors (VOCs)</t>
        </is>
      </c>
      <c r="D14" s="13" t="inlineStr">
        <is>
          <t>Yes</t>
        </is>
      </c>
      <c r="E14" s="14" t="inlineStr">
        <is>
          <t>Yes (VOCs &amp; CO combustion gases)</t>
        </is>
      </c>
      <c r="F14" s="13" t="inlineStr">
        <is>
          <t>Zone 2</t>
        </is>
      </c>
      <c r="G14" s="13" t="inlineStr">
        <is>
          <t>1.1% - 7.0% (Solvent Vapors) / 5-15% (NG)</t>
        </is>
      </c>
      <c r="H14" s="14" t="inlineStr">
        <is>
          <t>Combustion Chamber Open Flame, Ceramic Beds, Exhaust Duct Hot Spots</t>
        </is>
      </c>
      <c r="I14" s="14" t="inlineStr">
        <is>
          <t>In-line LEL VOC Analyzers, NG Gas Leak Detectors, Flame Scanners</t>
        </is>
      </c>
      <c r="J14" s="14" t="inlineStr">
        <is>
          <t>High LEL Exhaust Diverter Damper, Auto Burner Trip on Loss of Flame</t>
        </is>
      </c>
      <c r="K14" s="14" t="inlineStr">
        <is>
          <t>Process Exhaust Fans, LEV Hoods over Coater Rooms</t>
        </is>
      </c>
      <c r="L14" s="14" t="inlineStr">
        <is>
          <t>FR Clothing, Organic Vapor Respirator, Leather Safety Gloves</t>
        </is>
      </c>
      <c r="M14" s="14" t="inlineStr">
        <is>
          <t>SOP-CCL1-RTO01 (RTO Preheat &amp; Bypass Operations), VOC Monitoring</t>
        </is>
      </c>
      <c r="N14" s="13" t="inlineStr">
        <is>
          <t>Medium</t>
        </is>
      </c>
    </row>
    <row r="15" ht="35" customHeight="1">
      <c r="A15" s="11" t="inlineStr">
        <is>
          <t>HAZ-11</t>
        </is>
      </c>
      <c r="B15" s="12" t="inlineStr">
        <is>
          <t>CCL2 RTO</t>
        </is>
      </c>
      <c r="C15" s="12" t="inlineStr">
        <is>
          <t>Natural Gas / Solvent Vapors (VOCs)</t>
        </is>
      </c>
      <c r="D15" s="11" t="inlineStr">
        <is>
          <t>Yes</t>
        </is>
      </c>
      <c r="E15" s="12" t="inlineStr">
        <is>
          <t>Yes (VOCs &amp; CO combustion gases)</t>
        </is>
      </c>
      <c r="F15" s="11" t="inlineStr">
        <is>
          <t>Zone 2</t>
        </is>
      </c>
      <c r="G15" s="11" t="inlineStr">
        <is>
          <t>1.1% - 7.0% (Solvent Vapors) / 5-15% (NG)</t>
        </is>
      </c>
      <c r="H15" s="12" t="inlineStr">
        <is>
          <t>Combustion Chamber Flame, Ceramic Heat Exchanger, High Temp Exhaust</t>
        </is>
      </c>
      <c r="I15" s="12" t="inlineStr">
        <is>
          <t>In-line Flame Ionization Detectors (FID) / LEL Sensors, UV Flame Sensors</t>
        </is>
      </c>
      <c r="J15" s="12" t="inlineStr">
        <is>
          <t>Emergency Fresh Air Damper Interlock, Low Combustion Air Pressure Trip</t>
        </is>
      </c>
      <c r="K15" s="12" t="inlineStr">
        <is>
          <t>RTO Main Draft Fans, Exhaust Duct Static Pressure Controllers</t>
        </is>
      </c>
      <c r="L15" s="12" t="inlineStr">
        <is>
          <t>FR Clothing, Organic Vapor Mask, Protective Eyewear, Steel Toe Boots</t>
        </is>
      </c>
      <c r="M15" s="12" t="inlineStr">
        <is>
          <t>SOP-CCL2-RTO01 (RTO Start/Stop Sequence), Coater Exhaust Safety</t>
        </is>
      </c>
      <c r="N15" s="11" t="inlineStr">
        <is>
          <t>Medium</t>
        </is>
      </c>
    </row>
    <row r="16" ht="35" customHeight="1">
      <c r="A16" s="13" t="inlineStr">
        <is>
          <t>HAZ-12</t>
        </is>
      </c>
      <c r="B16" s="14" t="inlineStr">
        <is>
          <t>CCL1 Oven</t>
        </is>
      </c>
      <c r="C16" s="14" t="inlineStr">
        <is>
          <t>Natural Gas / Solvent Exhaust Gas</t>
        </is>
      </c>
      <c r="D16" s="13" t="inlineStr">
        <is>
          <t>Yes</t>
        </is>
      </c>
      <c r="E16" s="14" t="inlineStr">
        <is>
          <t>Yes (Solvent fumes / Carbon Monoxide)</t>
        </is>
      </c>
      <c r="F16" s="13" t="inlineStr">
        <is>
          <t>Zone 1 / Zone 2</t>
        </is>
      </c>
      <c r="G16" s="13" t="inlineStr">
        <is>
          <t>Varies by solvent composition (Typically 1-8%)</t>
        </is>
      </c>
      <c r="H16" s="14" t="inlineStr">
        <is>
          <t>Direct/Indirect Gas Burners, Hot Oven Zone Walls, Conveyor Friction</t>
        </is>
      </c>
      <c r="I16" s="14" t="inlineStr">
        <is>
          <t>Continuous Solvent LEL Analyzers in Oven Zones, Gas Pressure Switches</t>
        </is>
      </c>
      <c r="J16" s="14" t="inlineStr">
        <is>
          <t>Oven Purge Time Delay Interlock (4 volume changes before ignition)</t>
        </is>
      </c>
      <c r="K16" s="14" t="inlineStr">
        <is>
          <t>Recirculation Blowers, Fresh Air Make-up Fans, LEV Fume Extraction</t>
        </is>
      </c>
      <c r="L16" s="14" t="inlineStr">
        <is>
          <t>Heat-Resistant Gloves, FR Apparel, Chemical/Vapor Respirators</t>
        </is>
      </c>
      <c r="M16" s="14" t="inlineStr">
        <is>
          <t>SOP-CCL1-OVN01 (Curing Oven Startup), LEL Alarm Response SOP</t>
        </is>
      </c>
      <c r="N16" s="13" t="inlineStr">
        <is>
          <t>High</t>
        </is>
      </c>
    </row>
    <row r="17" ht="35" customHeight="1">
      <c r="A17" s="11" t="inlineStr">
        <is>
          <t>HAZ-13</t>
        </is>
      </c>
      <c r="B17" s="12" t="inlineStr">
        <is>
          <t>CCL2 Oven</t>
        </is>
      </c>
      <c r="C17" s="12" t="inlineStr">
        <is>
          <t>Natural Gas / Solvent Exhaust Gas</t>
        </is>
      </c>
      <c r="D17" s="11" t="inlineStr">
        <is>
          <t>Yes</t>
        </is>
      </c>
      <c r="E17" s="12" t="inlineStr">
        <is>
          <t>Yes (Solvent fumes / Carbon Monoxide)</t>
        </is>
      </c>
      <c r="F17" s="11" t="inlineStr">
        <is>
          <t>Zone 1 / Zone 2</t>
        </is>
      </c>
      <c r="G17" s="11" t="inlineStr">
        <is>
          <t>Varies by solvent composition (Typically 1-8%)</t>
        </is>
      </c>
      <c r="H17" s="12" t="inlineStr">
        <is>
          <t>Gas Burner Systems, Hot Air Nozzles, Heated Strip Surfaces</t>
        </is>
      </c>
      <c r="I17" s="12" t="inlineStr">
        <is>
          <t>Zone-wise LEL Monitoring, Gas Header Leak Detection</t>
        </is>
      </c>
      <c r="J17" s="12" t="inlineStr">
        <is>
          <t>Exhaust Air Flow Switch Interlock (Trips gas if airflow fails)</t>
        </is>
      </c>
      <c r="K17" s="12" t="inlineStr">
        <is>
          <t>Oven Exhaust Blowers, Negative Pressure Duct Controllers</t>
        </is>
      </c>
      <c r="L17" s="12" t="inlineStr">
        <is>
          <t>Heat/FR Protection Gear, Organic Vapor Face Respirator, Safety Glasses</t>
        </is>
      </c>
      <c r="M17" s="12" t="inlineStr">
        <is>
          <t>SOP-CCL2-OVN01 (Catenary Oven Operation), Fume Hood Maintenance</t>
        </is>
      </c>
      <c r="N17" s="11" t="inlineStr">
        <is>
          <t>High</t>
        </is>
      </c>
    </row>
    <row r="18" ht="35" customHeight="1">
      <c r="A18" s="13" t="inlineStr">
        <is>
          <t>HAZ-14</t>
        </is>
      </c>
      <c r="B18" s="14" t="inlineStr">
        <is>
          <t>CCL1 Valve Stand</t>
        </is>
      </c>
      <c r="C18" s="14" t="inlineStr">
        <is>
          <t>Natural Gas / Fuel Gas</t>
        </is>
      </c>
      <c r="D18" s="13" t="inlineStr">
        <is>
          <t>Yes</t>
        </is>
      </c>
      <c r="E18" s="14" t="inlineStr">
        <is>
          <t>No (Primary Fuel) / Minor CO risk</t>
        </is>
      </c>
      <c r="F18" s="13" t="inlineStr">
        <is>
          <t>Zone 2</t>
        </is>
      </c>
      <c r="G18" s="13" t="inlineStr">
        <is>
          <t>5.0% - 15.0%</t>
        </is>
      </c>
      <c r="H18" s="14" t="inlineStr">
        <is>
          <t>Electrical junction boxes, maintenance grinding, hot surfaces nearby</t>
        </is>
      </c>
      <c r="I18" s="14" t="inlineStr">
        <is>
          <t>Fixed Methane Gas Sensors</t>
        </is>
      </c>
      <c r="J18" s="14" t="inlineStr">
        <is>
          <t>Manual &amp; Automated Emergency Isolation Valve (EIV), Pressure Regulators</t>
        </is>
      </c>
      <c r="K18" s="14" t="inlineStr">
        <is>
          <t>Natural Cross-ventilation, Wall Exhaust Louvers</t>
        </is>
      </c>
      <c r="L18" s="14" t="inlineStr">
        <is>
          <t>FR Coveralls, Portable Single-gas LEL Detector, Safety Shoes</t>
        </is>
      </c>
      <c r="M18" s="14" t="inlineStr">
        <is>
          <t>SOP-CCL1-VS01 (Fuel Gas Skid Inspection), Valve Maintenance SOP</t>
        </is>
      </c>
      <c r="N18" s="13" t="inlineStr">
        <is>
          <t>Medium</t>
        </is>
      </c>
    </row>
    <row r="19" ht="35" customHeight="1">
      <c r="A19" s="11" t="inlineStr">
        <is>
          <t>HAZ-15</t>
        </is>
      </c>
      <c r="B19" s="12" t="inlineStr">
        <is>
          <t>CCL2 Valve Stand</t>
        </is>
      </c>
      <c r="C19" s="12" t="inlineStr">
        <is>
          <t>Natural Gas / Fuel Gas</t>
        </is>
      </c>
      <c r="D19" s="11" t="inlineStr">
        <is>
          <t>Yes</t>
        </is>
      </c>
      <c r="E19" s="12" t="inlineStr">
        <is>
          <t>No (Primary Fuel) / Minor CO risk</t>
        </is>
      </c>
      <c r="F19" s="11" t="inlineStr">
        <is>
          <t>Zone 2</t>
        </is>
      </c>
      <c r="G19" s="11" t="inlineStr">
        <is>
          <t>5.0% - 15.0%</t>
        </is>
      </c>
      <c r="H19" s="12" t="inlineStr">
        <is>
          <t>Electrical switches, static charges, non-certified electronic devices</t>
        </is>
      </c>
      <c r="I19" s="12" t="inlineStr">
        <is>
          <t>Fixed Methane Gas Sensors</t>
        </is>
      </c>
      <c r="J19" s="12" t="inlineStr">
        <is>
          <t>Pneumatic Safety Shutoff Valve, High/Low Gas Pressure Switches</t>
        </is>
      </c>
      <c r="K19" s="12" t="inlineStr">
        <is>
          <t>Natural Cross-ventilation, Open Air Skid Structure</t>
        </is>
      </c>
      <c r="L19" s="12" t="inlineStr">
        <is>
          <t>FR Coveralls, Portable LEL Detector, Antistatic Gloves</t>
        </is>
      </c>
      <c r="M19" s="12" t="inlineStr">
        <is>
          <t>SOP-CCL2-VS01 (Fuel Gas Skid Inspection), Line Bleeding SOP</t>
        </is>
      </c>
      <c r="N19" s="11" t="inlineStr">
        <is>
          <t>Medium</t>
        </is>
      </c>
    </row>
    <row r="20" ht="35" customHeight="1">
      <c r="A20" s="13" t="inlineStr">
        <is>
          <t>HAZ-16</t>
        </is>
      </c>
      <c r="B20" s="14" t="inlineStr">
        <is>
          <t>Boiler House</t>
        </is>
      </c>
      <c r="C20" s="14" t="inlineStr">
        <is>
          <t>Natural Gas / Flue Gas / CO</t>
        </is>
      </c>
      <c r="D20" s="13" t="inlineStr">
        <is>
          <t>Yes</t>
        </is>
      </c>
      <c r="E20" s="14" t="inlineStr">
        <is>
          <t>Yes (Carbon Monoxide in flue gas)</t>
        </is>
      </c>
      <c r="F20" s="13" t="inlineStr">
        <is>
          <t>Zone 2</t>
        </is>
      </c>
      <c r="G20" s="13" t="inlineStr">
        <is>
          <t>5.0% - 15.0% (NG) | CO LEL: 12.5% - 74%</t>
        </is>
      </c>
      <c r="H20" s="14" t="inlineStr">
        <is>
          <t>Boiler Main Burners, Pilot Flames, High Temp Steam Pipes, Electrical Controls</t>
        </is>
      </c>
      <c r="I20" s="14" t="inlineStr">
        <is>
          <t>Fixed NG Gas Sensors, Ambient CO Detectors, Stack Gas Analyzers (O2/CO)</t>
        </is>
      </c>
      <c r="J20" s="14" t="inlineStr">
        <is>
          <t>Boiler Master Fuel Trip (MFT), Pre-purge Interlock, Low Water Level Trip</t>
        </is>
      </c>
      <c r="K20" s="14" t="inlineStr">
        <is>
          <t>Forced Draft (FD) Fans, Induced Draft (ID) Fans, High Ceiling Louvers</t>
        </is>
      </c>
      <c r="L20" s="14" t="inlineStr">
        <is>
          <t>FR Clothing, Heat Gloves, Portable CO/LEL Dual Monitor, Ear Protection</t>
        </is>
      </c>
      <c r="M20" s="14" t="inlineStr">
        <is>
          <t>SOP-BLR-001 (Boiler Light-up &amp; Purging), Steam Boiler Operating Code</t>
        </is>
      </c>
      <c r="N20" s="13" t="inlineStr">
        <is>
          <t>High</t>
        </is>
      </c>
    </row>
  </sheetData>
  <mergeCells count="6">
    <mergeCell ref="L3:M3"/>
    <mergeCell ref="H3:K3"/>
    <mergeCell ref="A2:N2"/>
    <mergeCell ref="A3:B3"/>
    <mergeCell ref="C3:G3"/>
    <mergeCell ref="A1:N1"/>
  </mergeCells>
  <conditionalFormatting sqref="N5:N20">
    <cfRule type="cellIs" priority="1" operator="equal" dxfId="0" stopIfTrue="1">
      <formula>"High"</formula>
    </cfRule>
    <cfRule type="cellIs" priority="2" operator="equal" dxfId="1" stopIfTrue="1">
      <formula>"Medium"</formula>
    </cfRule>
  </conditionalFormatting>
  <dataValidations count="2">
    <dataValidation sqref="N5:N20" showDropDown="0" showInputMessage="0" showErrorMessage="0" allowBlank="1" type="list">
      <formula1>"High,Medium,Low"</formula1>
    </dataValidation>
    <dataValidation sqref="D5:D2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5" customWidth="1" min="3" max="3"/>
    <col width="45" customWidth="1" min="4" max="4"/>
    <col width="12" customWidth="1" min="5" max="5"/>
  </cols>
  <sheetData>
    <row r="1" ht="25" customHeight="1">
      <c r="A1" s="1" t="inlineStr">
        <is>
          <t>GAS SAFETY REFERENCE MANUAL &amp; PARAMETER GUIDE</t>
        </is>
      </c>
    </row>
    <row r="2" ht="18" customHeight="1">
      <c r="A2" s="2" t="inlineStr">
        <is>
          <t>Definitions, Mandatory Safety Field Explanations &amp; Area Classification Standards</t>
        </is>
      </c>
    </row>
    <row r="3"/>
    <row r="4" ht="24" customHeight="1">
      <c r="A4" s="18" t="inlineStr">
        <is>
          <t>MANDATORY SAFETY PARAMETERS EXPLAINED</t>
        </is>
      </c>
    </row>
    <row r="5" ht="24" customHeight="1">
      <c r="A5" s="10" t="inlineStr">
        <is>
          <t>Parameter Name</t>
        </is>
      </c>
      <c r="B5" s="10" t="inlineStr">
        <is>
          <t>Safety Category</t>
        </is>
      </c>
      <c r="C5" s="10" t="inlineStr">
        <is>
          <t>Description &amp; Operational Importance</t>
        </is>
      </c>
      <c r="D5" s="10" t="inlineStr">
        <is>
          <t>Key Reference Standards</t>
        </is>
      </c>
    </row>
    <row r="6" ht="22" customHeight="1">
      <c r="A6" s="19" t="inlineStr">
        <is>
          <t>Primary Gas Present</t>
        </is>
      </c>
      <c r="B6" s="12" t="inlineStr">
        <is>
          <t>Hazard ID</t>
        </is>
      </c>
      <c r="C6" s="12" t="inlineStr">
        <is>
          <t>Identifies the chemical composition of gases present (e.g., Methane, Propane, H2, NH3, CO).</t>
        </is>
      </c>
      <c r="D6" s="12" t="inlineStr">
        <is>
          <t>IS/IEC 60079-20-1</t>
        </is>
      </c>
    </row>
    <row r="7" ht="22" customHeight="1">
      <c r="A7" s="19" t="inlineStr">
        <is>
          <t>Flammability &amp; LEL/UEL</t>
        </is>
      </c>
      <c r="B7" s="12" t="inlineStr">
        <is>
          <t>Fire/Explosion</t>
        </is>
      </c>
      <c r="C7" s="12" t="inlineStr">
        <is>
          <t>Defines Lower &amp; Upper Explosive Limits. Gas-air mixtures within this range can ignite explosively.</t>
        </is>
      </c>
      <c r="D7" s="12" t="inlineStr">
        <is>
          <t>NFPA 54 / IS 5572</t>
        </is>
      </c>
    </row>
    <row r="8" ht="22" customHeight="1">
      <c r="A8" s="19" t="inlineStr">
        <is>
          <t>Toxicity / Asphyxiation</t>
        </is>
      </c>
      <c r="B8" s="12" t="inlineStr">
        <is>
          <t>Health Hazard</t>
        </is>
      </c>
      <c r="C8" s="12" t="inlineStr">
        <is>
          <t>Specifies Short-Term Exposure Limits (STEL/TWA) or asphyxiation hazards (O2 displacement).</t>
        </is>
      </c>
      <c r="D8" s="12" t="inlineStr">
        <is>
          <t>OSHA 1910.1000 / ACGIH</t>
        </is>
      </c>
    </row>
    <row r="9" ht="22" customHeight="1">
      <c r="A9" s="19" t="inlineStr">
        <is>
          <t>Hazard Zone Class</t>
        </is>
      </c>
      <c r="B9" s="12" t="inlineStr">
        <is>
          <t>Area Class</t>
        </is>
      </c>
      <c r="C9" s="12" t="inlineStr">
        <is>
          <t>Zone 0 (Continuous risk), Zone 1 (Likely in normal operation), Zone 2 (Unlikely/Short duration).</t>
        </is>
      </c>
      <c r="D9" s="12" t="inlineStr">
        <is>
          <t>IS/IEC 60079-10-1</t>
        </is>
      </c>
    </row>
    <row r="10" ht="22" customHeight="1">
      <c r="A10" s="19" t="inlineStr">
        <is>
          <t>Ignition Sources</t>
        </is>
      </c>
      <c r="B10" s="12" t="inlineStr">
        <is>
          <t>Prevention</t>
        </is>
      </c>
      <c r="C10" s="12" t="inlineStr">
        <is>
          <t>Identifies potential heat, electrical, static, or mechanical spark sources requiring control.</t>
        </is>
      </c>
      <c r="D10" s="12" t="inlineStr">
        <is>
          <t>NFPA 70 / IS 7000</t>
        </is>
      </c>
    </row>
    <row r="11" ht="22" customHeight="1">
      <c r="A11" s="19" t="inlineStr">
        <is>
          <t>Gas Detection System</t>
        </is>
      </c>
      <c r="B11" s="12" t="inlineStr">
        <is>
          <t>Engineering Control</t>
        </is>
      </c>
      <c r="C11" s="12" t="inlineStr">
        <is>
          <t>Fixed sensors (IR, Catalytic, Electrochemical) for early gas leak warning at LEL/PPM thresholds.</t>
        </is>
      </c>
      <c r="D11" s="12" t="inlineStr">
        <is>
          <t>IS/IEC 60079-29-1</t>
        </is>
      </c>
    </row>
    <row r="12" ht="22" customHeight="1">
      <c r="A12" s="19" t="inlineStr">
        <is>
          <t>Safety Interlocks &amp; Trips</t>
        </is>
      </c>
      <c r="B12" s="12" t="inlineStr">
        <is>
          <t>Engineering Control</t>
        </is>
      </c>
      <c r="C12" s="12" t="inlineStr">
        <is>
          <t>Automated shutoff valves (ESDV/GSSV), trip switches, and deluge systems to isolate hazards.</t>
        </is>
      </c>
      <c r="D12" s="12" t="inlineStr">
        <is>
          <t>ISA 84 / IEC 61511 (SIL)</t>
        </is>
      </c>
    </row>
    <row r="13" ht="22" customHeight="1">
      <c r="A13" s="19" t="inlineStr">
        <is>
          <t>Ventilation Systems</t>
        </is>
      </c>
      <c r="B13" s="12" t="inlineStr">
        <is>
          <t>Engineering Control</t>
        </is>
      </c>
      <c r="C13" s="12" t="inlineStr">
        <is>
          <t>Forced extraction, LEV, or natural ventilation to dilute gas leaks below flammable thresholds.</t>
        </is>
      </c>
      <c r="D13" s="12" t="inlineStr">
        <is>
          <t>NFPA 91 / ASHRAE</t>
        </is>
      </c>
    </row>
    <row r="14" ht="22" customHeight="1">
      <c r="A14" s="19" t="inlineStr">
        <is>
          <t>Mandatory PPE Requirements</t>
        </is>
      </c>
      <c r="B14" s="12" t="inlineStr">
        <is>
          <t>Personal Protection</t>
        </is>
      </c>
      <c r="C14" s="12" t="inlineStr">
        <is>
          <t>FR clothing, antistatic boots, SCBA, toxic gas cartridges, and portable multi-gas detectors.</t>
        </is>
      </c>
      <c r="D14" s="12" t="inlineStr">
        <is>
          <t>OSHA 1910.132 / IS Standards</t>
        </is>
      </c>
    </row>
    <row r="15" ht="22" customHeight="1">
      <c r="A15" s="19" t="inlineStr">
        <is>
          <t>Applicable SOPs &amp; Permits</t>
        </is>
      </c>
      <c r="B15" s="12" t="inlineStr">
        <is>
          <t>Procedural Control</t>
        </is>
      </c>
      <c r="C15" s="12" t="inlineStr">
        <is>
          <t>Standard Operating Procedures, LOTO forms, Hot Work Permits, and Confined Space Permits.</t>
        </is>
      </c>
      <c r="D15" s="12" t="inlineStr">
        <is>
          <t>AM/NS Safety Management System</t>
        </is>
      </c>
    </row>
    <row r="16"/>
    <row r="17"/>
    <row r="18" ht="24" customHeight="1">
      <c r="A18" s="18" t="inlineStr">
        <is>
          <t>HAZARDOUS AREA ZONE CLASSIFICATIONS (IS/IEC 60079)</t>
        </is>
      </c>
    </row>
    <row r="19" ht="24" customHeight="1">
      <c r="A19" s="10" t="inlineStr">
        <is>
          <t>Zone Classification</t>
        </is>
      </c>
      <c r="B19" s="10" t="inlineStr">
        <is>
          <t>Presence of Explosive Gas Atmosphere</t>
        </is>
      </c>
      <c r="C19" s="10" t="inlineStr">
        <is>
          <t>Equipment Protection Level (EPL)</t>
        </is>
      </c>
      <c r="D19" s="10" t="inlineStr">
        <is>
          <t>Typical Plant Application</t>
        </is>
      </c>
    </row>
    <row r="20" ht="22" customHeight="1">
      <c r="A20" s="19" t="inlineStr">
        <is>
          <t>Zone 0</t>
        </is>
      </c>
      <c r="B20" s="12" t="inlineStr">
        <is>
          <t>Continuous, long periods, or frequently present (&gt;1000 hrs/yr)</t>
        </is>
      </c>
      <c r="C20" s="12" t="inlineStr">
        <is>
          <t>Ga (Very High Protection)</t>
        </is>
      </c>
      <c r="D20" s="12" t="inlineStr">
        <is>
          <t>Inside gas pipes, vessel interiors, storage tanks</t>
        </is>
      </c>
    </row>
    <row r="21" ht="22" customHeight="1">
      <c r="A21" s="19" t="inlineStr">
        <is>
          <t>Zone 1</t>
        </is>
      </c>
      <c r="B21" s="12" t="inlineStr">
        <is>
          <t>Likely to occur in normal operation occasionally (10-1000 hrs/yr)</t>
        </is>
      </c>
      <c r="C21" s="12" t="inlineStr">
        <is>
          <t>Gb (High Protection)</t>
        </is>
      </c>
      <c r="D21" s="12" t="inlineStr">
        <is>
          <t>Adjacent to valve glands, sample points, burner fronts</t>
        </is>
      </c>
    </row>
    <row r="22" ht="22" customHeight="1">
      <c r="A22" s="19" t="inlineStr">
        <is>
          <t>Zone 2</t>
        </is>
      </c>
      <c r="B22" s="12" t="inlineStr">
        <is>
          <t>Not likely in normal operation; if occurs, persists briefly (&lt;10 hrs/yr)</t>
        </is>
      </c>
      <c r="C22" s="12" t="inlineStr">
        <is>
          <t>Gc (Enhanced Protection)</t>
        </is>
      </c>
      <c r="D22" s="12" t="inlineStr">
        <is>
          <t>Outer yard areas, well-ventilated valve stands, piping runs</t>
        </is>
      </c>
    </row>
  </sheetData>
  <mergeCells count="4">
    <mergeCell ref="A2:E2"/>
    <mergeCell ref="A1:E1"/>
    <mergeCell ref="A4:D4"/>
    <mergeCell ref="A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2026-10-08T03:45:10Z</dcterms:created>
  <dcterms:modified xmlns:dcterms="http://purl.org/dc/terms/" xmlns:xsi="http://www.w3.org/2001/XMLSchema-instance" xsi:type="dcterms:W3CDTF">2026-10-08T03:45:10Z</dcterms:modified>
</cp:coreProperties>
</file>